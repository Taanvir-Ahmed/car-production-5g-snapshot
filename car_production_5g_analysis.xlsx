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alysis" sheetId="2" state="visible" r:id="rId4"/>
    <sheet name="Royalty_Estimate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<sst xmlns="http://schemas.openxmlformats.org/spreadsheetml/2006/main" count="76" uniqueCount="71">
  <si>
    <t xml:space="preserve">Vehicle production by country (number of vehicles)</t>
  </si>
  <si>
    <t xml:space="preserve">Source: OICA (International Organization of Motor Vehicle Manufacturers) production statistics, 2024 and 2025</t>
  </si>
  <si>
    <t xml:space="preserve">Country</t>
  </si>
  <si>
    <t xml:space="preserve">2024</t>
  </si>
  <si>
    <t xml:space="preserve">2025</t>
  </si>
  <si>
    <t xml:space="preserve">China</t>
  </si>
  <si>
    <t xml:space="preserve">United States</t>
  </si>
  <si>
    <t xml:space="preserve">Japan</t>
  </si>
  <si>
    <t xml:space="preserve">India</t>
  </si>
  <si>
    <t xml:space="preserve">Germany</t>
  </si>
  <si>
    <t xml:space="preserve">South Korea</t>
  </si>
  <si>
    <t xml:space="preserve">Mexico</t>
  </si>
  <si>
    <t xml:space="preserve">Brazil</t>
  </si>
  <si>
    <t xml:space="preserve">Spain</t>
  </si>
  <si>
    <t xml:space="preserve">France</t>
  </si>
  <si>
    <t xml:space="preserve">World total</t>
  </si>
  <si>
    <t xml:space="preserve">Blue numbers are typed in from the source. Everything on the other sheets is calculated with formulas.</t>
  </si>
  <si>
    <t xml:space="preserve">Top 10 car-producing countries: growth and market share</t>
  </si>
  <si>
    <t xml:space="preserve">All cells are formulas that use the Data sheet.</t>
  </si>
  <si>
    <t xml:space="preserve">Change</t>
  </si>
  <si>
    <t xml:space="preserve">Growth %</t>
  </si>
  <si>
    <t xml:space="preserve">Share of world 2025</t>
  </si>
  <si>
    <t xml:space="preserve">Rank 2025</t>
  </si>
  <si>
    <t xml:space="preserve">Top 10 total</t>
  </si>
  <si>
    <t xml:space="preserve">Quick facts</t>
  </si>
  <si>
    <t xml:space="preserve">Average growth of the top 10</t>
  </si>
  <si>
    <t xml:space="preserve">Highest growth</t>
  </si>
  <si>
    <t xml:space="preserve">Country with highest growth</t>
  </si>
  <si>
    <t xml:space="preserve">Lowest growth</t>
  </si>
  <si>
    <t xml:space="preserve">Country with lowest growth</t>
  </si>
  <si>
    <t xml:space="preserve">Number of countries that grew</t>
  </si>
  <si>
    <t xml:space="preserve">China's share of world production</t>
  </si>
  <si>
    <t xml:space="preserve">How much could carmakers pay for 4G/5G patents in one year? (2025, simple estimate)</t>
  </si>
  <si>
    <t xml:space="preserve">Illustrative estimate using public patent-pool prices. Not based on any company's confidential licence terms.</t>
  </si>
  <si>
    <t xml:space="preserve">Step 1: Assumptions (you can change the yellow cells)</t>
  </si>
  <si>
    <t xml:space="preserve">Assumption</t>
  </si>
  <si>
    <t xml:space="preserve">Value</t>
  </si>
  <si>
    <t xml:space="preserve">Source</t>
  </si>
  <si>
    <t xml:space="preserve">Cars produced worldwide, 2025</t>
  </si>
  <si>
    <t xml:space="preserve">OICA (from Data sheet)</t>
  </si>
  <si>
    <t xml:space="preserve">Share of new cars that are connected</t>
  </si>
  <si>
    <t xml:space="preserve">Counterpoint Research: 75% of cars sold in 2024 had built-in cellular connection</t>
  </si>
  <si>
    <t xml:space="preserve">Share of connected cars with 5G</t>
  </si>
  <si>
    <t xml:space="preserve">My assumption: 5G is still new in cars (Counterpoint: over 96% were 4G in 2023)</t>
  </si>
  <si>
    <t xml:space="preserve">Patent fee per 4G car ($)</t>
  </si>
  <si>
    <t xml:space="preserve">Avanci 4G vehicle program (public price)</t>
  </si>
  <si>
    <t xml:space="preserve">Patent fee per 5G car ($)</t>
  </si>
  <si>
    <t xml:space="preserve">Avanci 5G vehicle program (public price)</t>
  </si>
  <si>
    <t xml:space="preserve">Step 2: Calculation</t>
  </si>
  <si>
    <t xml:space="preserve">Item</t>
  </si>
  <si>
    <t xml:space="preserve">Formula in words</t>
  </si>
  <si>
    <t xml:space="preserve">Connected cars</t>
  </si>
  <si>
    <t xml:space="preserve">cars x connected share</t>
  </si>
  <si>
    <t xml:space="preserve">5G cars</t>
  </si>
  <si>
    <t xml:space="preserve">connected cars x 5G share</t>
  </si>
  <si>
    <t xml:space="preserve">4G cars</t>
  </si>
  <si>
    <t xml:space="preserve">connected cars - 5G cars</t>
  </si>
  <si>
    <t xml:space="preserve">Fees from 4G cars ($)</t>
  </si>
  <si>
    <t xml:space="preserve">4G cars x $20</t>
  </si>
  <si>
    <t xml:space="preserve">Fees from 5G cars ($)</t>
  </si>
  <si>
    <t xml:space="preserve">5G cars x $32</t>
  </si>
  <si>
    <t xml:space="preserve">Total patent fees ($)</t>
  </si>
  <si>
    <t xml:space="preserve">4G fees + 5G fees</t>
  </si>
  <si>
    <t xml:space="preserve">Total patent fees ($ billion)</t>
  </si>
  <si>
    <t xml:space="preserve">total / 1,000,000,000</t>
  </si>
  <si>
    <t xml:space="preserve">Step 3: What if more cars had 5G?</t>
  </si>
  <si>
    <t xml:space="preserve">5G share of connected cars</t>
  </si>
  <si>
    <t xml:space="preserve">Total fees ($ billion)</t>
  </si>
  <si>
    <t xml:space="preserve">Increase vs. today's estimate</t>
  </si>
  <si>
    <t xml:space="preserve">Takeaway: as cars move from 4G to 5G, the fee per car rises from $20 to $32, so the total grows even if car sales stay flat.</t>
  </si>
  <si>
    <t xml:space="preserve">Charts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</si>
</sst>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"/>
    <numFmt numFmtId="168" formatCode="\$#,##0"/>
    <numFmt numFmtId="169" formatCode="\$0.00&quot; bn&quot;"/>
    <numFmt numFmtId="170" formatCode="\+0%;\-0%;0%"/>
    <numFmt numFmtId="171" formatCode="#,##0,,\m"/>
    <numFmt numFmtId="172" formatCode="0%"/>
    <numFmt numFmtId="173" formatCode="\$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0B5563"/>
      <name val="Arial"/>
      <family val="0"/>
      <charset val="1"/>
    </font>
    <font>
      <i val="true"/>
      <sz val="11"/>
      <color rgb="FF0B556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5563"/>
        <bgColor rgb="FF008080"/>
      </patternFill>
    </fill>
    <fill>
      <patternFill patternType="solid">
        <fgColor rgb="FFDDEFF1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8000"/>
      </font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FF1"/>
      <rgbColor rgb="FF660066"/>
      <rgbColor rgb="FFE07A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FB3BF"/>
      <rgbColor rgb="FF99CC00"/>
      <rgbColor rgb="FFFFCC00"/>
      <rgbColor rgb="FFFF9900"/>
      <rgbColor rgb="FFFF6600"/>
      <rgbColor rgb="FF595959"/>
      <rgbColor rgb="FF969696"/>
      <rgbColor rgb="FF0B55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car producers, 2025 (vehicles)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b556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Analysis!$A$5:$A$14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Japan</c:v>
                </c:pt>
                <c:pt idx="3">
                  <c:v>India</c:v>
                </c:pt>
                <c:pt idx="4">
                  <c:v>Germany</c:v>
                </c:pt>
                <c:pt idx="5">
                  <c:v>South Korea</c:v>
                </c:pt>
                <c:pt idx="6">
                  <c:v>Mexico</c:v>
                </c:pt>
                <c:pt idx="7">
                  <c:v>Brazil</c:v>
                </c:pt>
                <c:pt idx="8">
                  <c:v>Spain</c:v>
                </c:pt>
                <c:pt idx="9">
                  <c:v>France</c:v>
                </c:pt>
              </c:strCache>
            </c:strRef>
          </c:cat>
          <c:val>
            <c:numRef>
              <c:f>Analysis!$C$5:$C$14</c:f>
              <c:numCache>
                <c:formatCode>#,##0</c:formatCode>
                <c:ptCount val="10"/>
                <c:pt idx="0">
                  <c:v>34530738</c:v>
                </c:pt>
                <c:pt idx="1">
                  <c:v>10243844</c:v>
                </c:pt>
                <c:pt idx="2">
                  <c:v>8410232</c:v>
                </c:pt>
                <c:pt idx="3">
                  <c:v>6490810</c:v>
                </c:pt>
                <c:pt idx="4">
                  <c:v>4148836</c:v>
                </c:pt>
                <c:pt idx="5">
                  <c:v>4102200</c:v>
                </c:pt>
                <c:pt idx="6">
                  <c:v>4092448</c:v>
                </c:pt>
                <c:pt idx="7">
                  <c:v>2644054</c:v>
                </c:pt>
                <c:pt idx="8">
                  <c:v>2274026</c:v>
                </c:pt>
                <c:pt idx="9">
                  <c:v>1463991</c:v>
                </c:pt>
              </c:numCache>
            </c:numRef>
          </c:val>
        </c:ser>
        <c:gapWidth val="150"/>
        <c:overlap val="0"/>
        <c:axId val="82231040"/>
        <c:axId val="64485745"/>
      </c:barChart>
      <c:catAx>
        <c:axId val="822310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85745"/>
        <c:crosses val="autoZero"/>
        <c:auto val="1"/>
        <c:lblAlgn val="ctr"/>
        <c:lblOffset val="100"/>
        <c:noMultiLvlLbl val="0"/>
      </c:catAx>
      <c:valAx>
        <c:axId val="644857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31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Growth 2024 to 2025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Analysis!E4</c:f>
              <c:strCache>
                <c:ptCount val="1"/>
                <c:pt idx="0">
                  <c:v>Growth %</c:v>
                </c:pt>
              </c:strCache>
            </c:strRef>
          </c:tx>
          <c:spPr>
            <a:solidFill>
              <a:srgbClr val="5fb3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Analysis!$A$5:$A$14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Japan</c:v>
                </c:pt>
                <c:pt idx="3">
                  <c:v>India</c:v>
                </c:pt>
                <c:pt idx="4">
                  <c:v>Germany</c:v>
                </c:pt>
                <c:pt idx="5">
                  <c:v>South Korea</c:v>
                </c:pt>
                <c:pt idx="6">
                  <c:v>Mexico</c:v>
                </c:pt>
                <c:pt idx="7">
                  <c:v>Brazil</c:v>
                </c:pt>
                <c:pt idx="8">
                  <c:v>Spain</c:v>
                </c:pt>
                <c:pt idx="9">
                  <c:v>France</c:v>
                </c:pt>
              </c:strCache>
            </c:strRef>
          </c:cat>
          <c:val>
            <c:numRef>
              <c:f>Analysis!$E$5:$E$14</c:f>
              <c:numCache>
                <c:formatCode>0.0%</c:formatCode>
                <c:ptCount val="10"/>
                <c:pt idx="0">
                  <c:v>0.103867667604641</c:v>
                </c:pt>
                <c:pt idx="1">
                  <c:v>-0.0301399672113392</c:v>
                </c:pt>
                <c:pt idx="2">
                  <c:v>0.0213184943047581</c:v>
                </c:pt>
                <c:pt idx="3">
                  <c:v>0.0791593450104087</c:v>
                </c:pt>
                <c:pt idx="4">
                  <c:v>0.0195649192892401</c:v>
                </c:pt>
                <c:pt idx="5">
                  <c:v>-0.00606989832459952</c:v>
                </c:pt>
                <c:pt idx="6">
                  <c:v>-0.0262201729293145</c:v>
                </c:pt>
                <c:pt idx="7">
                  <c:v>0.0370486292921033</c:v>
                </c:pt>
                <c:pt idx="8">
                  <c:v>-0.0431213244328644</c:v>
                </c:pt>
                <c:pt idx="9">
                  <c:v>0.0782867509120197</c:v>
                </c:pt>
              </c:numCache>
            </c:numRef>
          </c:val>
        </c:ser>
        <c:gapWidth val="150"/>
        <c:overlap val="0"/>
        <c:axId val="64084095"/>
        <c:axId val="36884213"/>
      </c:barChart>
      <c:catAx>
        <c:axId val="6408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84213"/>
        <c:crosses val="autoZero"/>
        <c:auto val="1"/>
        <c:lblAlgn val="ctr"/>
        <c:lblOffset val="100"/>
        <c:noMultiLvlLbl val="0"/>
      </c:catAx>
      <c:valAx>
        <c:axId val="36884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840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patent fees by 5G share ($ billion)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Royalty_Estimate!B23</c:f>
              <c:strCache>
                <c:ptCount val="1"/>
                <c:pt idx="0">
                  <c:v>Total fees ($ billion)</c:v>
                </c:pt>
              </c:strCache>
            </c:strRef>
          </c:tx>
          <c:spPr>
            <a:solidFill>
              <a:srgbClr val="e07a5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Royalty_Estimate!$A$24:$A$28</c:f>
              <c:strCache>
                <c:ptCount val="5"/>
                <c:pt idx="0">
                  <c:v>10.0%</c:v>
                </c:pt>
                <c:pt idx="1">
                  <c:v>25.0%</c:v>
                </c:pt>
                <c:pt idx="2">
                  <c:v>50.0%</c:v>
                </c:pt>
                <c:pt idx="3">
                  <c:v>75.0%</c:v>
                </c:pt>
                <c:pt idx="4">
                  <c:v>100.0%</c:v>
                </c:pt>
              </c:strCache>
            </c:strRef>
          </c:cat>
          <c:val>
            <c:numRef>
              <c:f>Royalty_Estimate!$B$24:$B$28</c:f>
              <c:numCache>
                <c:formatCode>\$0.00" bn"</c:formatCode>
                <c:ptCount val="5"/>
                <c:pt idx="0">
                  <c:v>1.532500035</c:v>
                </c:pt>
                <c:pt idx="1">
                  <c:v>1.6626179625</c:v>
                </c:pt>
                <c:pt idx="2">
                  <c:v>1.879481175</c:v>
                </c:pt>
                <c:pt idx="3">
                  <c:v>2.0963443875</c:v>
                </c:pt>
                <c:pt idx="4">
                  <c:v>2.3132076</c:v>
                </c:pt>
              </c:numCache>
            </c:numRef>
          </c:val>
        </c:ser>
        <c:gapWidth val="150"/>
        <c:overlap val="0"/>
        <c:axId val="44573049"/>
        <c:axId val="38430199"/>
      </c:barChart>
      <c:catAx>
        <c:axId val="44573049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30199"/>
        <c:crosses val="autoZero"/>
        <c:auto val="1"/>
        <c:lblAlgn val="ctr"/>
        <c:lblOffset val="100"/>
        <c:noMultiLvlLbl val="0"/>
      </c:catAx>
      <c:valAx>
        <c:axId val="38430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730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255960</xdr:colOff>
      <xdr:row>18</xdr:row>
      <xdr:rowOff>161640</xdr:rowOff>
    </xdr:to>
    <xdr:graphicFrame>
      <xdr:nvGraphicFramePr>
        <xdr:cNvPr id="1" name="Chart 2"/>
        <xdr:cNvGraphicFramePr/>
      </xdr:nvGraphicFramePr>
      <xdr:xfrm>
        <a:off x="61149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9</xdr:col>
      <xdr:colOff>255960</xdr:colOff>
      <xdr:row>37</xdr:row>
      <xdr:rowOff>162000</xdr:rowOff>
    </xdr:to>
    <xdr:graphicFrame>
      <xdr:nvGraphicFramePr>
        <xdr:cNvPr id="2" name="Chart 3"/>
        <xdr:cNvGraphicFramePr/>
      </xdr:nvGraphicFramePr>
      <xdr:xfrm>
        <a:off x="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31281592</v>
      </c>
      <c r="C5" s="5" t="n">
        <v>34530738</v>
      </c>
    </row>
    <row r="6" customFormat="false" ht="15" hidden="false" customHeight="false" outlineLevel="0" collapsed="false">
      <c r="A6" s="4" t="s">
        <v>6</v>
      </c>
      <c r="B6" s="5" t="n">
        <v>10562188</v>
      </c>
      <c r="C6" s="5" t="n">
        <v>10243844</v>
      </c>
    </row>
    <row r="7" customFormat="false" ht="15" hidden="false" customHeight="false" outlineLevel="0" collapsed="false">
      <c r="A7" s="4" t="s">
        <v>7</v>
      </c>
      <c r="B7" s="5" t="n">
        <v>8234681</v>
      </c>
      <c r="C7" s="5" t="n">
        <v>8410232</v>
      </c>
    </row>
    <row r="8" customFormat="false" ht="15" hidden="false" customHeight="false" outlineLevel="0" collapsed="false">
      <c r="A8" s="4" t="s">
        <v>8</v>
      </c>
      <c r="B8" s="5" t="n">
        <v>6014691</v>
      </c>
      <c r="C8" s="5" t="n">
        <v>6490810</v>
      </c>
    </row>
    <row r="9" customFormat="false" ht="15" hidden="false" customHeight="false" outlineLevel="0" collapsed="false">
      <c r="A9" s="4" t="s">
        <v>9</v>
      </c>
      <c r="B9" s="5" t="n">
        <v>4069222</v>
      </c>
      <c r="C9" s="5" t="n">
        <v>4148836</v>
      </c>
    </row>
    <row r="10" customFormat="false" ht="15" hidden="false" customHeight="false" outlineLevel="0" collapsed="false">
      <c r="A10" s="4" t="s">
        <v>10</v>
      </c>
      <c r="B10" s="5" t="n">
        <v>4127252</v>
      </c>
      <c r="C10" s="5" t="n">
        <v>4102200</v>
      </c>
    </row>
    <row r="11" customFormat="false" ht="15" hidden="false" customHeight="false" outlineLevel="0" collapsed="false">
      <c r="A11" s="4" t="s">
        <v>11</v>
      </c>
      <c r="B11" s="5" t="n">
        <v>4202642</v>
      </c>
      <c r="C11" s="5" t="n">
        <v>4092448</v>
      </c>
    </row>
    <row r="12" customFormat="false" ht="15" hidden="false" customHeight="false" outlineLevel="0" collapsed="false">
      <c r="A12" s="4" t="s">
        <v>12</v>
      </c>
      <c r="B12" s="5" t="n">
        <v>2549595</v>
      </c>
      <c r="C12" s="5" t="n">
        <v>2644054</v>
      </c>
    </row>
    <row r="13" customFormat="false" ht="15" hidden="false" customHeight="false" outlineLevel="0" collapsed="false">
      <c r="A13" s="4" t="s">
        <v>13</v>
      </c>
      <c r="B13" s="5" t="n">
        <v>2376504</v>
      </c>
      <c r="C13" s="5" t="n">
        <v>2274026</v>
      </c>
    </row>
    <row r="14" customFormat="false" ht="15" hidden="false" customHeight="false" outlineLevel="0" collapsed="false">
      <c r="A14" s="4" t="s">
        <v>14</v>
      </c>
      <c r="B14" s="5" t="n">
        <v>1357701</v>
      </c>
      <c r="C14" s="5" t="n">
        <v>1463991</v>
      </c>
    </row>
    <row r="15" customFormat="false" ht="15" hidden="false" customHeight="false" outlineLevel="0" collapsed="false">
      <c r="A15" s="6" t="s">
        <v>15</v>
      </c>
      <c r="B15" s="7" t="n">
        <v>92504338</v>
      </c>
      <c r="C15" s="7" t="n">
        <v>96383650</v>
      </c>
    </row>
    <row r="17" customFormat="false" ht="15" hidden="false" customHeight="false" outlineLevel="0" collapsed="false">
      <c r="A17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3"/>
    <col collapsed="false" customWidth="true" hidden="false" outlineLevel="0" max="7" min="5" style="0" width="11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19</v>
      </c>
      <c r="E4" s="3" t="s">
        <v>20</v>
      </c>
      <c r="F4" s="3" t="s">
        <v>21</v>
      </c>
      <c r="G4" s="3" t="s">
        <v>22</v>
      </c>
    </row>
    <row r="5" customFormat="false" ht="15" hidden="false" customHeight="false" outlineLevel="0" collapsed="false">
      <c r="A5" s="8" t="str">
        <f aca="false">Data!A5</f>
        <v>China</v>
      </c>
      <c r="B5" s="9" t="n">
        <f aca="false">Data!B5</f>
        <v>31281592</v>
      </c>
      <c r="C5" s="9" t="n">
        <f aca="false">Data!C5</f>
        <v>34530738</v>
      </c>
      <c r="D5" s="10" t="n">
        <f aca="false">C5-B5</f>
        <v>3249146</v>
      </c>
      <c r="E5" s="11" t="n">
        <f aca="false">D5/B5</f>
        <v>0.103867667604641</v>
      </c>
      <c r="F5" s="11" t="n">
        <f aca="false">C5/$C$16</f>
        <v>0.358263439909155</v>
      </c>
      <c r="G5" s="12" t="n">
        <f aca="false">RANK(C5,$C$5:$C$14)</f>
        <v>1</v>
      </c>
    </row>
    <row r="6" customFormat="false" ht="15" hidden="false" customHeight="false" outlineLevel="0" collapsed="false">
      <c r="A6" s="8" t="str">
        <f aca="false">Data!A6</f>
        <v>United States</v>
      </c>
      <c r="B6" s="9" t="n">
        <f aca="false">Data!B6</f>
        <v>10562188</v>
      </c>
      <c r="C6" s="9" t="n">
        <f aca="false">Data!C6</f>
        <v>10243844</v>
      </c>
      <c r="D6" s="10" t="n">
        <f aca="false">C6-B6</f>
        <v>-318344</v>
      </c>
      <c r="E6" s="11" t="n">
        <f aca="false">D6/B6</f>
        <v>-0.0301399672113392</v>
      </c>
      <c r="F6" s="11" t="n">
        <f aca="false">C6/$C$16</f>
        <v>0.106281967947883</v>
      </c>
      <c r="G6" s="12" t="n">
        <f aca="false">RANK(C6,$C$5:$C$14)</f>
        <v>2</v>
      </c>
    </row>
    <row r="7" customFormat="false" ht="15" hidden="false" customHeight="false" outlineLevel="0" collapsed="false">
      <c r="A7" s="8" t="str">
        <f aca="false">Data!A7</f>
        <v>Japan</v>
      </c>
      <c r="B7" s="9" t="n">
        <f aca="false">Data!B7</f>
        <v>8234681</v>
      </c>
      <c r="C7" s="9" t="n">
        <f aca="false">Data!C7</f>
        <v>8410232</v>
      </c>
      <c r="D7" s="10" t="n">
        <f aca="false">C7-B7</f>
        <v>175551</v>
      </c>
      <c r="E7" s="11" t="n">
        <f aca="false">D7/B7</f>
        <v>0.0213184943047581</v>
      </c>
      <c r="F7" s="11" t="n">
        <f aca="false">C7/$C$16</f>
        <v>0.0872578699810601</v>
      </c>
      <c r="G7" s="12" t="n">
        <f aca="false">RANK(C7,$C$5:$C$14)</f>
        <v>3</v>
      </c>
    </row>
    <row r="8" customFormat="false" ht="15" hidden="false" customHeight="false" outlineLevel="0" collapsed="false">
      <c r="A8" s="8" t="str">
        <f aca="false">Data!A8</f>
        <v>India</v>
      </c>
      <c r="B8" s="9" t="n">
        <f aca="false">Data!B8</f>
        <v>6014691</v>
      </c>
      <c r="C8" s="9" t="n">
        <f aca="false">Data!C8</f>
        <v>6490810</v>
      </c>
      <c r="D8" s="10" t="n">
        <f aca="false">C8-B8</f>
        <v>476119</v>
      </c>
      <c r="E8" s="11" t="n">
        <f aca="false">D8/B8</f>
        <v>0.0791593450104087</v>
      </c>
      <c r="F8" s="11" t="n">
        <f aca="false">C8/$C$16</f>
        <v>0.067343475786609</v>
      </c>
      <c r="G8" s="12" t="n">
        <f aca="false">RANK(C8,$C$5:$C$14)</f>
        <v>4</v>
      </c>
    </row>
    <row r="9" customFormat="false" ht="15" hidden="false" customHeight="false" outlineLevel="0" collapsed="false">
      <c r="A9" s="8" t="str">
        <f aca="false">Data!A9</f>
        <v>Germany</v>
      </c>
      <c r="B9" s="9" t="n">
        <f aca="false">Data!B9</f>
        <v>4069222</v>
      </c>
      <c r="C9" s="9" t="n">
        <f aca="false">Data!C9</f>
        <v>4148836</v>
      </c>
      <c r="D9" s="10" t="n">
        <f aca="false">C9-B9</f>
        <v>79614</v>
      </c>
      <c r="E9" s="11" t="n">
        <f aca="false">D9/B9</f>
        <v>0.0195649192892401</v>
      </c>
      <c r="F9" s="11" t="n">
        <f aca="false">C9/$C$16</f>
        <v>0.04304501852752</v>
      </c>
      <c r="G9" s="12" t="n">
        <f aca="false">RANK(C9,$C$5:$C$14)</f>
        <v>5</v>
      </c>
    </row>
    <row r="10" customFormat="false" ht="15" hidden="false" customHeight="false" outlineLevel="0" collapsed="false">
      <c r="A10" s="8" t="str">
        <f aca="false">Data!A10</f>
        <v>South Korea</v>
      </c>
      <c r="B10" s="9" t="n">
        <f aca="false">Data!B10</f>
        <v>4127252</v>
      </c>
      <c r="C10" s="9" t="n">
        <f aca="false">Data!C10</f>
        <v>4102200</v>
      </c>
      <c r="D10" s="10" t="n">
        <f aca="false">C10-B10</f>
        <v>-25052</v>
      </c>
      <c r="E10" s="11" t="n">
        <f aca="false">D10/B10</f>
        <v>-0.00606989832459952</v>
      </c>
      <c r="F10" s="11" t="n">
        <f aca="false">C10/$C$16</f>
        <v>0.0425611605287826</v>
      </c>
      <c r="G10" s="12" t="n">
        <f aca="false">RANK(C10,$C$5:$C$14)</f>
        <v>6</v>
      </c>
    </row>
    <row r="11" customFormat="false" ht="15" hidden="false" customHeight="false" outlineLevel="0" collapsed="false">
      <c r="A11" s="8" t="str">
        <f aca="false">Data!A11</f>
        <v>Mexico</v>
      </c>
      <c r="B11" s="9" t="n">
        <f aca="false">Data!B11</f>
        <v>4202642</v>
      </c>
      <c r="C11" s="9" t="n">
        <f aca="false">Data!C11</f>
        <v>4092448</v>
      </c>
      <c r="D11" s="10" t="n">
        <f aca="false">C11-B11</f>
        <v>-110194</v>
      </c>
      <c r="E11" s="11" t="n">
        <f aca="false">D11/B11</f>
        <v>-0.0262201729293145</v>
      </c>
      <c r="F11" s="11" t="n">
        <f aca="false">C11/$C$16</f>
        <v>0.0424599815425127</v>
      </c>
      <c r="G11" s="12" t="n">
        <f aca="false">RANK(C11,$C$5:$C$14)</f>
        <v>7</v>
      </c>
    </row>
    <row r="12" customFormat="false" ht="15" hidden="false" customHeight="false" outlineLevel="0" collapsed="false">
      <c r="A12" s="8" t="str">
        <f aca="false">Data!A12</f>
        <v>Brazil</v>
      </c>
      <c r="B12" s="9" t="n">
        <f aca="false">Data!B12</f>
        <v>2549595</v>
      </c>
      <c r="C12" s="9" t="n">
        <f aca="false">Data!C12</f>
        <v>2644054</v>
      </c>
      <c r="D12" s="10" t="n">
        <f aca="false">C12-B12</f>
        <v>94459</v>
      </c>
      <c r="E12" s="11" t="n">
        <f aca="false">D12/B12</f>
        <v>0.0370486292921033</v>
      </c>
      <c r="F12" s="11" t="n">
        <f aca="false">C12/$C$16</f>
        <v>0.0274325987862049</v>
      </c>
      <c r="G12" s="12" t="n">
        <f aca="false">RANK(C12,$C$5:$C$14)</f>
        <v>8</v>
      </c>
    </row>
    <row r="13" customFormat="false" ht="15" hidden="false" customHeight="false" outlineLevel="0" collapsed="false">
      <c r="A13" s="8" t="str">
        <f aca="false">Data!A13</f>
        <v>Spain</v>
      </c>
      <c r="B13" s="9" t="n">
        <f aca="false">Data!B13</f>
        <v>2376504</v>
      </c>
      <c r="C13" s="9" t="n">
        <f aca="false">Data!C13</f>
        <v>2274026</v>
      </c>
      <c r="D13" s="10" t="n">
        <f aca="false">C13-B13</f>
        <v>-102478</v>
      </c>
      <c r="E13" s="11" t="n">
        <f aca="false">D13/B13</f>
        <v>-0.0431213244328644</v>
      </c>
      <c r="F13" s="11" t="n">
        <f aca="false">C13/$C$16</f>
        <v>0.0235934829195616</v>
      </c>
      <c r="G13" s="12" t="n">
        <f aca="false">RANK(C13,$C$5:$C$14)</f>
        <v>9</v>
      </c>
    </row>
    <row r="14" customFormat="false" ht="15" hidden="false" customHeight="false" outlineLevel="0" collapsed="false">
      <c r="A14" s="8" t="str">
        <f aca="false">Data!A14</f>
        <v>France</v>
      </c>
      <c r="B14" s="9" t="n">
        <f aca="false">Data!B14</f>
        <v>1357701</v>
      </c>
      <c r="C14" s="9" t="n">
        <f aca="false">Data!C14</f>
        <v>1463991</v>
      </c>
      <c r="D14" s="10" t="n">
        <f aca="false">C14-B14</f>
        <v>106290</v>
      </c>
      <c r="E14" s="11" t="n">
        <f aca="false">D14/B14</f>
        <v>0.0782867509120197</v>
      </c>
      <c r="F14" s="11" t="n">
        <f aca="false">C14/$C$16</f>
        <v>0.0151892048080769</v>
      </c>
      <c r="G14" s="12" t="n">
        <f aca="false">RANK(C14,$C$5:$C$14)</f>
        <v>10</v>
      </c>
    </row>
    <row r="15" customFormat="false" ht="15" hidden="false" customHeight="false" outlineLevel="0" collapsed="false">
      <c r="A15" s="6" t="s">
        <v>23</v>
      </c>
      <c r="B15" s="13" t="n">
        <f aca="false">SUM(B5:B14)</f>
        <v>74776068</v>
      </c>
      <c r="C15" s="13" t="n">
        <f aca="false">SUM(C5:C14)</f>
        <v>78401179</v>
      </c>
      <c r="D15" s="13" t="n">
        <f aca="false">SUM(D5:D14)</f>
        <v>3625111</v>
      </c>
      <c r="E15" s="14" t="n">
        <f aca="false">D15/B15</f>
        <v>0.0484795616693833</v>
      </c>
      <c r="F15" s="14" t="n">
        <f aca="false">C15/C16</f>
        <v>0.813428200737366</v>
      </c>
      <c r="G15" s="15"/>
    </row>
    <row r="16" customFormat="false" ht="15" hidden="false" customHeight="false" outlineLevel="0" collapsed="false">
      <c r="A16" s="16" t="s">
        <v>15</v>
      </c>
      <c r="B16" s="9" t="n">
        <f aca="false">Data!B15</f>
        <v>92504338</v>
      </c>
      <c r="C16" s="9" t="n">
        <f aca="false">Data!C15</f>
        <v>96383650</v>
      </c>
      <c r="D16" s="10" t="n">
        <f aca="false">C16-B16</f>
        <v>3879312</v>
      </c>
      <c r="E16" s="11" t="n">
        <f aca="false">D16/B16</f>
        <v>0.0419365413976586</v>
      </c>
      <c r="F16" s="11" t="n">
        <f aca="false">C16/C16</f>
        <v>1</v>
      </c>
      <c r="G16" s="4"/>
    </row>
    <row r="19" customFormat="false" ht="15" hidden="false" customHeight="false" outlineLevel="0" collapsed="false">
      <c r="A19" s="17" t="s">
        <v>24</v>
      </c>
    </row>
    <row r="20" customFormat="false" ht="15" hidden="false" customHeight="false" outlineLevel="0" collapsed="false">
      <c r="A20" s="4" t="s">
        <v>25</v>
      </c>
      <c r="B20" s="4"/>
      <c r="C20" s="18" t="n">
        <f aca="false">AVERAGE(E5:E14)</f>
        <v>0.0233694443515053</v>
      </c>
    </row>
    <row r="21" customFormat="false" ht="15" hidden="false" customHeight="false" outlineLevel="0" collapsed="false">
      <c r="A21" s="4" t="s">
        <v>26</v>
      </c>
      <c r="B21" s="4"/>
      <c r="C21" s="18" t="n">
        <f aca="false">MAX(E5:E14)</f>
        <v>0.103867667604641</v>
      </c>
    </row>
    <row r="22" customFormat="false" ht="15" hidden="false" customHeight="false" outlineLevel="0" collapsed="false">
      <c r="A22" s="4" t="s">
        <v>27</v>
      </c>
      <c r="B22" s="4"/>
      <c r="C22" s="16" t="str">
        <f aca="false">INDEX(A5:A14,MATCH(MAX(E5:E14),E5:E14,0))</f>
        <v>China</v>
      </c>
    </row>
    <row r="23" customFormat="false" ht="15" hidden="false" customHeight="false" outlineLevel="0" collapsed="false">
      <c r="A23" s="4" t="s">
        <v>28</v>
      </c>
      <c r="B23" s="4"/>
      <c r="C23" s="18" t="n">
        <f aca="false">MIN(E5:E14)</f>
        <v>-0.0431213244328644</v>
      </c>
    </row>
    <row r="24" customFormat="false" ht="15" hidden="false" customHeight="false" outlineLevel="0" collapsed="false">
      <c r="A24" s="4" t="s">
        <v>29</v>
      </c>
      <c r="B24" s="4"/>
      <c r="C24" s="16" t="str">
        <f aca="false">INDEX(A5:A14,MATCH(MIN(E5:E14),E5:E14,0))</f>
        <v>Spain</v>
      </c>
    </row>
    <row r="25" customFormat="false" ht="15" hidden="false" customHeight="false" outlineLevel="0" collapsed="false">
      <c r="A25" s="4" t="s">
        <v>30</v>
      </c>
      <c r="B25" s="4"/>
      <c r="C25" s="19" t="n">
        <f aca="false">COUNTIF(E5:E14,"&gt;0")</f>
        <v>6</v>
      </c>
    </row>
    <row r="26" customFormat="false" ht="15" hidden="false" customHeight="false" outlineLevel="0" collapsed="false">
      <c r="A26" s="4" t="s">
        <v>31</v>
      </c>
      <c r="B26" s="4"/>
      <c r="C26" s="18" t="n">
        <f aca="false">F5</f>
        <v>0.358263439909155</v>
      </c>
    </row>
  </sheetData>
  <mergeCells count="7">
    <mergeCell ref="A20:B20"/>
    <mergeCell ref="A21:B21"/>
    <mergeCell ref="A22:B22"/>
    <mergeCell ref="A23:B23"/>
    <mergeCell ref="A24:B24"/>
    <mergeCell ref="A25:B25"/>
    <mergeCell ref="A26:B26"/>
  </mergeCells>
  <conditionalFormatting sqref="E5:E1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F5:F14">
    <cfRule type="dataBar" priority="4">
      <dataBar showValue="1" minLength="10" maxLength="90">
        <cfvo type="num" val="0"/>
        <cfvo type="max" val="0"/>
        <color rgb="FF5FB3BF"/>
      </dataBar>
      <extLst>
        <ext xmlns:x14="http://schemas.microsoft.com/office/spreadsheetml/2009/9/main" uri="{B025F937-C7B1-47D3-B67F-A62EFF666E3E}">
          <x14:id>{1C5F48F5-A5D6-46C2-BD83-1DD0AF236BE8}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5F48F5-A5D6-46C2-BD83-1DD0AF236BE8}">
            <x14:dataBar minLength="10" maxLength="90" axisPosition="none" gradient="true">
              <x14:cfvo type="num">
                <xm:f>0</xm:f>
              </x14:cfvo>
              <x14:cfvo type="max"/>
              <x14:negativeFillColor rgb="FF5FB3BF"/>
              <x14:axisColor rgb="FF000000"/>
            </x14:dataBar>
          </x14:cfRule>
          <xm:sqref>F5:F14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17" t="s">
        <v>34</v>
      </c>
    </row>
    <row r="5" customFormat="false" ht="15" hidden="false" customHeight="false" outlineLevel="0" collapsed="false">
      <c r="A5" s="3" t="s">
        <v>35</v>
      </c>
      <c r="B5" s="3" t="s">
        <v>36</v>
      </c>
      <c r="C5" s="3" t="s">
        <v>37</v>
      </c>
    </row>
    <row r="6" customFormat="false" ht="15" hidden="false" customHeight="false" outlineLevel="0" collapsed="false">
      <c r="A6" s="4" t="s">
        <v>38</v>
      </c>
      <c r="B6" s="9" t="n">
        <f aca="false">Data!C15</f>
        <v>96383650</v>
      </c>
      <c r="C6" s="20" t="s">
        <v>39</v>
      </c>
    </row>
    <row r="7" customFormat="false" ht="15" hidden="false" customHeight="false" outlineLevel="0" collapsed="false">
      <c r="A7" s="4" t="s">
        <v>40</v>
      </c>
      <c r="B7" s="21" t="n">
        <v>0.75</v>
      </c>
      <c r="C7" s="20" t="s">
        <v>41</v>
      </c>
    </row>
    <row r="8" customFormat="false" ht="15" hidden="false" customHeight="false" outlineLevel="0" collapsed="false">
      <c r="A8" s="4" t="s">
        <v>42</v>
      </c>
      <c r="B8" s="21" t="n">
        <v>0.1</v>
      </c>
      <c r="C8" s="20" t="s">
        <v>43</v>
      </c>
    </row>
    <row r="9" customFormat="false" ht="15" hidden="false" customHeight="false" outlineLevel="0" collapsed="false">
      <c r="A9" s="4" t="s">
        <v>44</v>
      </c>
      <c r="B9" s="22" t="n">
        <v>20</v>
      </c>
      <c r="C9" s="20" t="s">
        <v>45</v>
      </c>
    </row>
    <row r="10" customFormat="false" ht="15" hidden="false" customHeight="false" outlineLevel="0" collapsed="false">
      <c r="A10" s="4" t="s">
        <v>46</v>
      </c>
      <c r="B10" s="22" t="n">
        <v>32</v>
      </c>
      <c r="C10" s="20" t="s">
        <v>47</v>
      </c>
    </row>
    <row r="12" customFormat="false" ht="15" hidden="false" customHeight="false" outlineLevel="0" collapsed="false">
      <c r="A12" s="17" t="s">
        <v>48</v>
      </c>
    </row>
    <row r="13" customFormat="false" ht="15" hidden="false" customHeight="false" outlineLevel="0" collapsed="false">
      <c r="A13" s="3" t="s">
        <v>49</v>
      </c>
      <c r="B13" s="3" t="s">
        <v>36</v>
      </c>
      <c r="C13" s="3" t="s">
        <v>50</v>
      </c>
    </row>
    <row r="14" customFormat="false" ht="15" hidden="false" customHeight="false" outlineLevel="0" collapsed="false">
      <c r="A14" s="4" t="s">
        <v>51</v>
      </c>
      <c r="B14" s="10" t="n">
        <f aca="false">B6*B7</f>
        <v>72287737.5</v>
      </c>
      <c r="C14" s="20" t="s">
        <v>52</v>
      </c>
    </row>
    <row r="15" customFormat="false" ht="15" hidden="false" customHeight="false" outlineLevel="0" collapsed="false">
      <c r="A15" s="4" t="s">
        <v>53</v>
      </c>
      <c r="B15" s="10" t="n">
        <f aca="false">B14*B8</f>
        <v>7228773.75</v>
      </c>
      <c r="C15" s="20" t="s">
        <v>54</v>
      </c>
    </row>
    <row r="16" customFormat="false" ht="15" hidden="false" customHeight="false" outlineLevel="0" collapsed="false">
      <c r="A16" s="4" t="s">
        <v>55</v>
      </c>
      <c r="B16" s="10" t="n">
        <f aca="false">B14-B15</f>
        <v>65058963.75</v>
      </c>
      <c r="C16" s="20" t="s">
        <v>56</v>
      </c>
    </row>
    <row r="17" customFormat="false" ht="15" hidden="false" customHeight="false" outlineLevel="0" collapsed="false">
      <c r="A17" s="4" t="s">
        <v>57</v>
      </c>
      <c r="B17" s="23" t="n">
        <f aca="false">B16*B9</f>
        <v>1301179275</v>
      </c>
      <c r="C17" s="20" t="s">
        <v>58</v>
      </c>
    </row>
    <row r="18" customFormat="false" ht="15" hidden="false" customHeight="false" outlineLevel="0" collapsed="false">
      <c r="A18" s="4" t="s">
        <v>59</v>
      </c>
      <c r="B18" s="23" t="n">
        <f aca="false">B15*B10</f>
        <v>231320760</v>
      </c>
      <c r="C18" s="20" t="s">
        <v>60</v>
      </c>
    </row>
    <row r="19" customFormat="false" ht="15" hidden="false" customHeight="false" outlineLevel="0" collapsed="false">
      <c r="A19" s="6" t="s">
        <v>61</v>
      </c>
      <c r="B19" s="24" t="n">
        <f aca="false">B17+B18</f>
        <v>1532500035</v>
      </c>
      <c r="C19" s="20" t="s">
        <v>62</v>
      </c>
    </row>
    <row r="20" customFormat="false" ht="15" hidden="false" customHeight="false" outlineLevel="0" collapsed="false">
      <c r="A20" s="6" t="s">
        <v>63</v>
      </c>
      <c r="B20" s="25" t="n">
        <f aca="false">B19/1000000000</f>
        <v>1.532500035</v>
      </c>
      <c r="C20" s="20" t="s">
        <v>64</v>
      </c>
    </row>
    <row r="22" customFormat="false" ht="15" hidden="false" customHeight="false" outlineLevel="0" collapsed="false">
      <c r="A22" s="17" t="s">
        <v>65</v>
      </c>
    </row>
    <row r="23" customFormat="false" ht="30" hidden="false" customHeight="true" outlineLevel="0" collapsed="false">
      <c r="A23" s="3" t="s">
        <v>66</v>
      </c>
      <c r="B23" s="3" t="s">
        <v>67</v>
      </c>
      <c r="C23" s="3" t="s">
        <v>68</v>
      </c>
    </row>
    <row r="24" customFormat="false" ht="15" hidden="false" customHeight="false" outlineLevel="0" collapsed="false">
      <c r="A24" s="26" t="n">
        <v>0.1</v>
      </c>
      <c r="B24" s="27" t="n">
        <f aca="false">$B$14*((1-A24)*$B$9+A24*$B$10)/1000000000</f>
        <v>1.532500035</v>
      </c>
      <c r="C24" s="28" t="n">
        <f aca="false">B24/$B$20-1</f>
        <v>0</v>
      </c>
    </row>
    <row r="25" customFormat="false" ht="15" hidden="false" customHeight="false" outlineLevel="0" collapsed="false">
      <c r="A25" s="26" t="n">
        <v>0.25</v>
      </c>
      <c r="B25" s="27" t="n">
        <f aca="false">$B$14*((1-A25)*$B$9+A25*$B$10)/1000000000</f>
        <v>1.6626179625</v>
      </c>
      <c r="C25" s="28" t="n">
        <f aca="false">B25/$B$20-1</f>
        <v>0.0849056603773584</v>
      </c>
    </row>
    <row r="26" customFormat="false" ht="15" hidden="false" customHeight="false" outlineLevel="0" collapsed="false">
      <c r="A26" s="26" t="n">
        <v>0.5</v>
      </c>
      <c r="B26" s="27" t="n">
        <f aca="false">$B$14*((1-A26)*$B$9+A26*$B$10)/1000000000</f>
        <v>1.879481175</v>
      </c>
      <c r="C26" s="28" t="n">
        <f aca="false">B26/$B$20-1</f>
        <v>0.226415094339623</v>
      </c>
    </row>
    <row r="27" customFormat="false" ht="15" hidden="false" customHeight="false" outlineLevel="0" collapsed="false">
      <c r="A27" s="26" t="n">
        <v>0.75</v>
      </c>
      <c r="B27" s="27" t="n">
        <f aca="false">$B$14*((1-A27)*$B$9+A27*$B$10)/1000000000</f>
        <v>2.0963443875</v>
      </c>
      <c r="C27" s="28" t="n">
        <f aca="false">B27/$B$20-1</f>
        <v>0.367924528301887</v>
      </c>
    </row>
    <row r="28" customFormat="false" ht="15" hidden="false" customHeight="false" outlineLevel="0" collapsed="false">
      <c r="A28" s="26" t="n">
        <v>1</v>
      </c>
      <c r="B28" s="27" t="n">
        <f aca="false">$B$14*((1-A28)*$B$9+A28*$B$10)/1000000000</f>
        <v>2.3132076</v>
      </c>
      <c r="C28" s="28" t="n">
        <f aca="false">B28/$B$20-1</f>
        <v>0.509433962264151</v>
      </c>
    </row>
    <row r="30" customFormat="false" ht="15" hidden="false" customHeight="false" outlineLevel="0" collapsed="false">
      <c r="A30" s="29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2026-10-01T20:15:24Z</dcterms:created>
  <dc:creator>openpyxl</dc:creator>
  <dc:description/>
  <dc:language>en-US</dc:language>
  <cp:lastModifiedBy/>
  <dcterms:modified xsi:type="dcterms:W3CDTF">2026-10-01T23:15:26Z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